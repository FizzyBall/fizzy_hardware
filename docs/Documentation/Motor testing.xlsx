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xr:revisionPtr revIDLastSave="0" documentId="13_ncr:1_{D4F7E052-54BF-4881-BD8C-6D0350941D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K20" i="1"/>
  <c r="L19" i="1"/>
  <c r="H19" i="1"/>
  <c r="K19" i="1" s="1"/>
  <c r="K18" i="1"/>
  <c r="H18" i="1"/>
  <c r="L17" i="1"/>
  <c r="K17" i="1"/>
  <c r="H17" i="1"/>
  <c r="L16" i="1"/>
  <c r="K16" i="1"/>
  <c r="L15" i="1"/>
  <c r="L12" i="1"/>
  <c r="K12" i="1"/>
  <c r="K11" i="1"/>
  <c r="L10" i="1"/>
  <c r="K10" i="1"/>
  <c r="K9" i="1"/>
  <c r="L6" i="1"/>
  <c r="K6" i="1"/>
  <c r="L4" i="1"/>
  <c r="K4" i="1"/>
  <c r="C4" i="1"/>
  <c r="C6" i="1" s="1"/>
  <c r="B4" i="1"/>
  <c r="B6" i="1" s="1"/>
  <c r="H3" i="1"/>
  <c r="K3" i="1" s="1"/>
  <c r="B8" i="1" l="1"/>
  <c r="B11" i="1" s="1"/>
  <c r="B7" i="1"/>
  <c r="B10" i="1" s="1"/>
  <c r="C8" i="1"/>
  <c r="C11" i="1" s="1"/>
  <c r="C7" i="1"/>
  <c r="C10" i="1" s="1"/>
</calcChain>
</file>

<file path=xl/sharedStrings.xml><?xml version="1.0" encoding="utf-8"?>
<sst xmlns="http://schemas.openxmlformats.org/spreadsheetml/2006/main" count="92" uniqueCount="45">
  <si>
    <t>Requirements</t>
  </si>
  <si>
    <t>min</t>
  </si>
  <si>
    <t>max</t>
  </si>
  <si>
    <t>unit</t>
  </si>
  <si>
    <t>Setup</t>
  </si>
  <si>
    <t>Speed Counter Clockwise</t>
  </si>
  <si>
    <t>Comments</t>
  </si>
  <si>
    <t>Rotating Mass</t>
  </si>
  <si>
    <t>kg</t>
  </si>
  <si>
    <t>TS90M</t>
  </si>
  <si>
    <t>Distance rotating mass to center of rotation</t>
  </si>
  <si>
    <t>m</t>
  </si>
  <si>
    <t>With PCB and battery</t>
  </si>
  <si>
    <t>-</t>
  </si>
  <si>
    <t>Speed with load 75 (clockwise) 67 (counterclockwise)</t>
  </si>
  <si>
    <t>Torque to hold the drivetrain horizontal</t>
  </si>
  <si>
    <t>Nm</t>
  </si>
  <si>
    <t>With PCB and power supply</t>
  </si>
  <si>
    <t>Motor directly on powersupply give 1,1A stall current (no motor driver)</t>
  </si>
  <si>
    <t>Friction</t>
  </si>
  <si>
    <t>Website specifications</t>
  </si>
  <si>
    <t xml:space="preserve">Large difference between motors. </t>
  </si>
  <si>
    <t>Minimal torque required</t>
  </si>
  <si>
    <t xml:space="preserve">With safety factor 2 </t>
  </si>
  <si>
    <t>With safety factor 4</t>
  </si>
  <si>
    <t>MG996R</t>
  </si>
  <si>
    <t>Speed</t>
  </si>
  <si>
    <t>RPM</t>
  </si>
  <si>
    <t>Power required with safety 2</t>
  </si>
  <si>
    <t>W</t>
  </si>
  <si>
    <t>Could not supply the current draw, PCB dropout</t>
  </si>
  <si>
    <t>Power required with safety 4</t>
  </si>
  <si>
    <t>Max power from PCB peak</t>
  </si>
  <si>
    <t>N20 150RPM</t>
  </si>
  <si>
    <t>Directly on power supply</t>
  </si>
  <si>
    <t>With DRV8833 motor driver and power supply</t>
  </si>
  <si>
    <t>Using motor driver from servo motor</t>
  </si>
  <si>
    <t>Only PCB no motor</t>
  </si>
  <si>
    <t>Voltage (V)</t>
  </si>
  <si>
    <t>Stall torque (Nm)</t>
  </si>
  <si>
    <t>Stall current (A)</t>
  </si>
  <si>
    <t>Speed (RPM)</t>
  </si>
  <si>
    <t>Mechanical power (W)</t>
  </si>
  <si>
    <t>Electrical power (W)</t>
  </si>
  <si>
    <t>No Load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</si>
</sst>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0.0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left" vertical="center"/>
    </xf>
    <xf numFmtId="2" fontId="2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vertical="center"/>
    </xf>
  </cellXfs>
  <cellStyles count="1">
    <cellStyle name="Standaard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356854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solid">
          <fgColor indexed="6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Motors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Motors-style 2" pivot="0" count="4" xr9:uid="{00000000-0011-0000-FFFF-FFFF01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colors>
    <mruColors>
      <color rgb="FF3568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D12" headerRowDxfId="1">
  <tableColumns count="4">
    <tableColumn id="1" xr3:uid="{00000000-0010-0000-0000-000001000000}" name="Requirements"/>
    <tableColumn id="2" xr3:uid="{00000000-0010-0000-0000-000002000000}" name="min"/>
    <tableColumn id="3" xr3:uid="{00000000-0010-0000-0000-000003000000}" name="max"/>
    <tableColumn id="4" xr3:uid="{00000000-0010-0000-0000-000004000000}" name="unit"/>
  </tableColumns>
  <tableStyleInfo name="Moto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3" displayName="Tabel3" ref="F1:O23" headerRowDxfId="0">
  <tableColumns count="10">
    <tableColumn id="1" xr3:uid="{00000000-0010-0000-0100-000001000000}" name="Setup"/>
    <tableColumn id="2" xr3:uid="{00000000-0010-0000-0100-000002000000}" name="Voltage (V)"/>
    <tableColumn id="3" xr3:uid="{00000000-0010-0000-0100-000003000000}" name="Stall torque (Nm)"/>
    <tableColumn id="4" xr3:uid="{00000000-0010-0000-0100-000004000000}" name="Stall current (A)"/>
    <tableColumn id="5" xr3:uid="{00000000-0010-0000-0100-000005000000}" name="Speed (RPM)"/>
    <tableColumn id="6" xr3:uid="{00000000-0010-0000-0100-000006000000}" name="Mechanical power (W)"/>
    <tableColumn id="7" xr3:uid="{00000000-0010-0000-0100-000007000000}" name="Electrical power (W)"/>
    <tableColumn id="8" xr3:uid="{00000000-0010-0000-0100-000008000000}" name="Speed Counter Clockwise"/>
    <tableColumn id="9" xr3:uid="{00000000-0010-0000-0100-000009000000}" name="No Load Current"/>
    <tableColumn id="10" xr3:uid="{00000000-0010-0000-0100-00000A000000}" name="Comments"/>
  </tableColumns>
  <tableStyleInfo name="Motor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2.6328125" defaultRowHeight="15.75" customHeight="1" x14ac:dyDescent="0.25"/>
  <cols>
    <col min="1" max="1" width="37.7265625" customWidth="1"/>
    <col min="2" max="2" width="14" customWidth="1"/>
    <col min="3" max="4" width="13.36328125" customWidth="1"/>
    <col min="6" max="6" width="24.08984375" customWidth="1"/>
    <col min="7" max="7" width="12" customWidth="1"/>
    <col min="8" max="8" width="17.08984375" customWidth="1"/>
    <col min="9" max="9" width="15.90625" customWidth="1"/>
    <col min="10" max="10" width="13.54296875" customWidth="1"/>
    <col min="11" max="11" width="22.453125" customWidth="1"/>
    <col min="12" max="12" width="20.6328125" customWidth="1"/>
    <col min="13" max="13" width="23.08984375" bestFit="1" customWidth="1"/>
    <col min="14" max="14" width="17" bestFit="1" customWidth="1"/>
    <col min="15" max="15" width="57.6328125" bestFit="1" customWidth="1"/>
    <col min="17" max="17" width="8.453125" customWidth="1"/>
    <col min="18" max="18" width="9.6328125" customWidth="1"/>
  </cols>
  <sheetData>
    <row r="1" spans="1:17" ht="22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F1" s="10" t="s">
        <v>4</v>
      </c>
      <c r="G1" s="10" t="s">
        <v>38</v>
      </c>
      <c r="H1" s="10" t="s">
        <v>39</v>
      </c>
      <c r="I1" s="10" t="s">
        <v>40</v>
      </c>
      <c r="J1" s="10" t="s">
        <v>41</v>
      </c>
      <c r="K1" s="10" t="s">
        <v>42</v>
      </c>
      <c r="L1" s="10" t="s">
        <v>43</v>
      </c>
      <c r="M1" s="10" t="s">
        <v>5</v>
      </c>
      <c r="N1" s="10" t="s">
        <v>44</v>
      </c>
      <c r="O1" s="10" t="s">
        <v>6</v>
      </c>
    </row>
    <row r="2" spans="1:17" ht="22.5" customHeight="1" x14ac:dyDescent="0.25">
      <c r="A2" s="1" t="s">
        <v>7</v>
      </c>
      <c r="B2" s="1">
        <v>0.15</v>
      </c>
      <c r="C2" s="1">
        <v>0.2</v>
      </c>
      <c r="D2" s="1" t="s">
        <v>8</v>
      </c>
      <c r="F2" s="2" t="s">
        <v>9</v>
      </c>
      <c r="H2" s="3"/>
      <c r="I2" s="4"/>
      <c r="J2" s="1"/>
      <c r="K2" s="3"/>
      <c r="L2" s="4"/>
      <c r="M2" s="4"/>
      <c r="N2" s="4"/>
      <c r="Q2" s="5"/>
    </row>
    <row r="3" spans="1:17" ht="22.5" customHeight="1" x14ac:dyDescent="0.25">
      <c r="A3" s="1" t="s">
        <v>10</v>
      </c>
      <c r="B3" s="1">
        <v>3.5000000000000003E-2</v>
      </c>
      <c r="C3" s="1">
        <v>4.4999999999999998E-2</v>
      </c>
      <c r="D3" s="1" t="s">
        <v>11</v>
      </c>
      <c r="F3" s="1" t="s">
        <v>12</v>
      </c>
      <c r="G3" s="4">
        <v>5</v>
      </c>
      <c r="H3" s="3">
        <f>0.55*0.04*9.81</f>
        <v>0.21582000000000004</v>
      </c>
      <c r="I3" s="4" t="s">
        <v>13</v>
      </c>
      <c r="J3" s="1">
        <v>114</v>
      </c>
      <c r="K3" s="3">
        <f t="shared" ref="K3:K4" si="0">(H3*J3*2*PI()/60)/2</f>
        <v>1.2882352003457236</v>
      </c>
      <c r="L3" s="4" t="s">
        <v>13</v>
      </c>
      <c r="M3" s="4">
        <v>112</v>
      </c>
      <c r="N3" s="4" t="s">
        <v>13</v>
      </c>
      <c r="O3" s="6" t="s">
        <v>14</v>
      </c>
    </row>
    <row r="4" spans="1:17" ht="22.5" customHeight="1" x14ac:dyDescent="0.25">
      <c r="A4" s="1" t="s">
        <v>15</v>
      </c>
      <c r="B4" s="12">
        <f t="shared" ref="B4:C4" si="1">B3*B2*9.81</f>
        <v>5.1502500000000007E-2</v>
      </c>
      <c r="C4" s="12">
        <f t="shared" si="1"/>
        <v>8.8289999999999993E-2</v>
      </c>
      <c r="D4" s="1" t="s">
        <v>16</v>
      </c>
      <c r="F4" s="1" t="s">
        <v>17</v>
      </c>
      <c r="G4" s="4">
        <v>5</v>
      </c>
      <c r="H4" s="3">
        <v>0.2</v>
      </c>
      <c r="I4" s="4">
        <v>1.2</v>
      </c>
      <c r="J4" s="1">
        <v>115</v>
      </c>
      <c r="K4" s="3">
        <f t="shared" si="0"/>
        <v>1.2042771838760873</v>
      </c>
      <c r="L4" s="4">
        <f>I4*G4</f>
        <v>6</v>
      </c>
      <c r="M4" s="4">
        <v>109</v>
      </c>
      <c r="N4" s="4">
        <v>0.35599999999999998</v>
      </c>
      <c r="O4" s="6" t="s">
        <v>18</v>
      </c>
    </row>
    <row r="5" spans="1:17" ht="22.5" customHeight="1" x14ac:dyDescent="0.25">
      <c r="A5" s="1" t="s">
        <v>19</v>
      </c>
      <c r="B5" s="1">
        <v>7.0000000000000001E-3</v>
      </c>
      <c r="C5" s="1">
        <v>8.9999999999999993E-3</v>
      </c>
      <c r="D5" s="1" t="s">
        <v>16</v>
      </c>
      <c r="F5" s="1" t="s">
        <v>20</v>
      </c>
      <c r="G5" s="4">
        <v>4.8</v>
      </c>
      <c r="H5" s="4" t="s">
        <v>13</v>
      </c>
      <c r="I5" s="4" t="s">
        <v>13</v>
      </c>
      <c r="J5" s="1">
        <v>91</v>
      </c>
      <c r="K5" s="11" t="s">
        <v>13</v>
      </c>
      <c r="L5" s="4" t="s">
        <v>13</v>
      </c>
      <c r="M5" s="4" t="s">
        <v>13</v>
      </c>
      <c r="N5" s="4" t="s">
        <v>13</v>
      </c>
      <c r="O5" s="1" t="s">
        <v>21</v>
      </c>
    </row>
    <row r="6" spans="1:17" ht="22.5" customHeight="1" x14ac:dyDescent="0.25">
      <c r="A6" s="1" t="s">
        <v>22</v>
      </c>
      <c r="B6" s="12">
        <f t="shared" ref="B6:C6" si="2">B5+B4</f>
        <v>5.8502500000000006E-2</v>
      </c>
      <c r="C6" s="12">
        <f t="shared" si="2"/>
        <v>9.7289999999999988E-2</v>
      </c>
      <c r="D6" s="1" t="s">
        <v>16</v>
      </c>
      <c r="F6" s="1" t="s">
        <v>20</v>
      </c>
      <c r="G6" s="4">
        <v>6</v>
      </c>
      <c r="H6" s="3">
        <v>0.19</v>
      </c>
      <c r="I6" s="4">
        <v>0.9</v>
      </c>
      <c r="J6" s="1">
        <v>111</v>
      </c>
      <c r="K6" s="3">
        <f>(H6*J6*2*PI()/60)/2</f>
        <v>1.1042698177368124</v>
      </c>
      <c r="L6" s="4">
        <f>I6*G6</f>
        <v>5.4</v>
      </c>
      <c r="M6" s="4" t="s">
        <v>13</v>
      </c>
      <c r="N6" s="4" t="s">
        <v>13</v>
      </c>
    </row>
    <row r="7" spans="1:17" ht="22.5" customHeight="1" x14ac:dyDescent="0.25">
      <c r="A7" s="1" t="s">
        <v>23</v>
      </c>
      <c r="B7" s="12">
        <f t="shared" ref="B7:C7" si="3">B6*2</f>
        <v>0.11700500000000001</v>
      </c>
      <c r="C7" s="12">
        <f t="shared" si="3"/>
        <v>0.19457999999999998</v>
      </c>
      <c r="D7" s="1" t="s">
        <v>16</v>
      </c>
      <c r="G7" s="4"/>
      <c r="H7" s="3"/>
      <c r="I7" s="4"/>
      <c r="J7" s="1"/>
      <c r="K7" s="3"/>
      <c r="L7" s="4"/>
      <c r="M7" s="4"/>
      <c r="N7" s="4"/>
    </row>
    <row r="8" spans="1:17" ht="22.5" customHeight="1" x14ac:dyDescent="0.25">
      <c r="A8" s="1" t="s">
        <v>24</v>
      </c>
      <c r="B8" s="12">
        <f t="shared" ref="B8:C8" si="4">B6*4</f>
        <v>0.23401000000000002</v>
      </c>
      <c r="C8" s="12">
        <f t="shared" si="4"/>
        <v>0.38915999999999995</v>
      </c>
      <c r="D8" s="1" t="s">
        <v>16</v>
      </c>
      <c r="F8" s="2" t="s">
        <v>25</v>
      </c>
      <c r="G8" s="4"/>
      <c r="H8" s="3"/>
      <c r="I8" s="4"/>
      <c r="J8" s="1"/>
      <c r="K8" s="3"/>
      <c r="L8" s="4"/>
      <c r="M8" s="4"/>
      <c r="N8" s="4"/>
    </row>
    <row r="9" spans="1:17" ht="22.5" customHeight="1" x14ac:dyDescent="0.25">
      <c r="A9" s="1" t="s">
        <v>26</v>
      </c>
      <c r="B9" s="1">
        <v>100</v>
      </c>
      <c r="C9" s="1">
        <v>100</v>
      </c>
      <c r="D9" s="1" t="s">
        <v>27</v>
      </c>
      <c r="F9" s="1" t="s">
        <v>12</v>
      </c>
      <c r="G9" s="4">
        <v>5</v>
      </c>
      <c r="H9" s="3">
        <v>0.57999999999999996</v>
      </c>
      <c r="I9" s="4" t="s">
        <v>13</v>
      </c>
      <c r="J9" s="1">
        <v>41</v>
      </c>
      <c r="K9" s="3">
        <f t="shared" ref="K9:K12" si="5">(H9*J9*2*PI()/60)/2</f>
        <v>1.2451178883727545</v>
      </c>
      <c r="L9" s="4" t="s">
        <v>13</v>
      </c>
      <c r="M9" s="4">
        <v>42</v>
      </c>
      <c r="N9" s="4" t="s">
        <v>13</v>
      </c>
    </row>
    <row r="10" spans="1:17" ht="22.5" customHeight="1" x14ac:dyDescent="0.25">
      <c r="A10" s="1" t="s">
        <v>28</v>
      </c>
      <c r="B10" s="3">
        <f t="shared" ref="B10:C10" si="6">(B7*B9*2*PI()/60)/2</f>
        <v>0.61263674738878959</v>
      </c>
      <c r="C10" s="3">
        <f t="shared" si="6"/>
        <v>1.0188184975591699</v>
      </c>
      <c r="D10" s="1" t="s">
        <v>29</v>
      </c>
      <c r="F10" s="1" t="s">
        <v>17</v>
      </c>
      <c r="G10" s="4">
        <v>5</v>
      </c>
      <c r="H10" s="3">
        <v>0.39</v>
      </c>
      <c r="I10" s="4">
        <v>0.67</v>
      </c>
      <c r="J10" s="1">
        <v>40</v>
      </c>
      <c r="K10" s="3">
        <f t="shared" si="5"/>
        <v>0.81681408993334637</v>
      </c>
      <c r="L10" s="4">
        <f>I10*G10</f>
        <v>3.35</v>
      </c>
      <c r="M10" s="4">
        <v>42</v>
      </c>
      <c r="N10" s="4" t="s">
        <v>13</v>
      </c>
      <c r="O10" s="1" t="s">
        <v>30</v>
      </c>
    </row>
    <row r="11" spans="1:17" ht="22.5" customHeight="1" x14ac:dyDescent="0.25">
      <c r="A11" s="1" t="s">
        <v>31</v>
      </c>
      <c r="B11" s="3">
        <f t="shared" ref="B11:C11" si="7">(B8*B9*2*PI()/60)/2</f>
        <v>1.2252734947775792</v>
      </c>
      <c r="C11" s="3">
        <f t="shared" si="7"/>
        <v>2.0376369951183397</v>
      </c>
      <c r="D11" s="1" t="s">
        <v>29</v>
      </c>
      <c r="F11" s="1" t="s">
        <v>20</v>
      </c>
      <c r="G11" s="4">
        <v>4.8</v>
      </c>
      <c r="H11" s="3">
        <v>1.3</v>
      </c>
      <c r="I11" s="4" t="s">
        <v>13</v>
      </c>
      <c r="J11" s="1">
        <v>58</v>
      </c>
      <c r="K11" s="3">
        <f t="shared" si="5"/>
        <v>3.9479347680111738</v>
      </c>
      <c r="L11" s="4" t="s">
        <v>13</v>
      </c>
      <c r="M11" s="4" t="s">
        <v>13</v>
      </c>
      <c r="N11" s="4" t="s">
        <v>13</v>
      </c>
    </row>
    <row r="12" spans="1:17" ht="22.5" customHeight="1" x14ac:dyDescent="0.25">
      <c r="A12" s="1" t="s">
        <v>32</v>
      </c>
      <c r="B12" s="1">
        <v>10</v>
      </c>
      <c r="C12" s="1">
        <v>10</v>
      </c>
      <c r="D12" s="1" t="s">
        <v>29</v>
      </c>
      <c r="F12" s="1" t="s">
        <v>20</v>
      </c>
      <c r="G12" s="4">
        <v>7.4</v>
      </c>
      <c r="H12" s="3">
        <v>1.5</v>
      </c>
      <c r="I12" s="4">
        <v>2.2000000000000002</v>
      </c>
      <c r="J12" s="1">
        <v>76</v>
      </c>
      <c r="K12" s="3">
        <f t="shared" si="5"/>
        <v>5.9690260418206069</v>
      </c>
      <c r="L12" s="4">
        <f>I12*G12</f>
        <v>16.28</v>
      </c>
      <c r="M12" s="4" t="s">
        <v>13</v>
      </c>
      <c r="N12" s="4" t="s">
        <v>13</v>
      </c>
    </row>
    <row r="13" spans="1:17" ht="22.5" customHeight="1" x14ac:dyDescent="0.25">
      <c r="G13" s="4"/>
      <c r="H13" s="3"/>
      <c r="I13" s="4"/>
      <c r="J13" s="1"/>
      <c r="K13" s="3"/>
      <c r="L13" s="4"/>
      <c r="M13" s="4"/>
      <c r="N13" s="4"/>
    </row>
    <row r="14" spans="1:17" ht="22.5" customHeight="1" x14ac:dyDescent="0.3">
      <c r="A14" s="7"/>
      <c r="B14" s="7"/>
      <c r="C14" s="7"/>
      <c r="D14" s="7"/>
      <c r="F14" s="2" t="s">
        <v>33</v>
      </c>
      <c r="G14" s="4"/>
      <c r="H14" s="3"/>
      <c r="I14" s="4"/>
      <c r="J14" s="1"/>
      <c r="K14" s="3"/>
      <c r="L14" s="4"/>
      <c r="M14" s="4"/>
      <c r="N14" s="4"/>
    </row>
    <row r="15" spans="1:17" ht="22.5" customHeight="1" x14ac:dyDescent="0.25">
      <c r="A15" s="8"/>
      <c r="B15" s="8"/>
      <c r="C15" s="8"/>
      <c r="D15" s="8"/>
      <c r="F15" s="1" t="s">
        <v>34</v>
      </c>
      <c r="G15" s="4">
        <v>6</v>
      </c>
      <c r="H15" s="4" t="s">
        <v>13</v>
      </c>
      <c r="I15" s="4">
        <v>0.44</v>
      </c>
      <c r="J15" s="1">
        <v>148</v>
      </c>
      <c r="K15" s="11" t="s">
        <v>13</v>
      </c>
      <c r="L15" s="4">
        <f t="shared" ref="L15:L17" si="8">I15*G15</f>
        <v>2.64</v>
      </c>
      <c r="M15" s="4" t="s">
        <v>13</v>
      </c>
      <c r="N15" s="4" t="s">
        <v>13</v>
      </c>
    </row>
    <row r="16" spans="1:17" ht="22.5" customHeight="1" x14ac:dyDescent="0.25">
      <c r="A16" s="8"/>
      <c r="B16" s="8"/>
      <c r="C16" s="8"/>
      <c r="D16" s="8"/>
      <c r="F16" s="1" t="s">
        <v>34</v>
      </c>
      <c r="G16" s="4">
        <v>5</v>
      </c>
      <c r="H16" s="3">
        <v>0.2</v>
      </c>
      <c r="I16" s="4">
        <v>0.36</v>
      </c>
      <c r="J16" s="1">
        <v>120</v>
      </c>
      <c r="K16" s="3">
        <f t="shared" ref="K16:K20" si="9">(H16*J16*2*PI()/60)/2</f>
        <v>1.2566370614359172</v>
      </c>
      <c r="L16" s="4">
        <f t="shared" si="8"/>
        <v>1.7999999999999998</v>
      </c>
      <c r="M16" s="4" t="s">
        <v>13</v>
      </c>
      <c r="N16" s="4">
        <v>0.25</v>
      </c>
    </row>
    <row r="17" spans="1:15" ht="22.5" customHeight="1" x14ac:dyDescent="0.25">
      <c r="A17" s="9"/>
      <c r="B17" s="9"/>
      <c r="C17" s="9"/>
      <c r="D17" s="9"/>
      <c r="F17" s="6" t="s">
        <v>35</v>
      </c>
      <c r="G17" s="4">
        <v>5</v>
      </c>
      <c r="H17" s="3">
        <f>0.32*0.04*9.81</f>
        <v>0.12556800000000001</v>
      </c>
      <c r="I17" s="4">
        <v>0.22</v>
      </c>
      <c r="J17" s="1">
        <v>115</v>
      </c>
      <c r="K17" s="3">
        <f t="shared" si="9"/>
        <v>0.75609338712476271</v>
      </c>
      <c r="L17" s="4">
        <f t="shared" si="8"/>
        <v>1.1000000000000001</v>
      </c>
      <c r="M17" s="4">
        <v>116</v>
      </c>
      <c r="N17" s="4"/>
    </row>
    <row r="18" spans="1:15" ht="22.5" customHeight="1" x14ac:dyDescent="0.25">
      <c r="A18" s="8"/>
      <c r="B18" s="8"/>
      <c r="C18" s="8"/>
      <c r="D18" s="8"/>
      <c r="F18" s="1" t="s">
        <v>12</v>
      </c>
      <c r="G18" s="4">
        <v>5</v>
      </c>
      <c r="H18" s="3">
        <f>0.31*0.04*9.81</f>
        <v>0.121644</v>
      </c>
      <c r="I18" s="4" t="s">
        <v>13</v>
      </c>
      <c r="J18" s="1">
        <v>88</v>
      </c>
      <c r="K18" s="3">
        <f t="shared" si="9"/>
        <v>0.56049531523813934</v>
      </c>
      <c r="L18" s="4" t="s">
        <v>13</v>
      </c>
      <c r="M18" s="4">
        <v>81</v>
      </c>
      <c r="N18" s="4" t="s">
        <v>13</v>
      </c>
      <c r="O18" s="1" t="s">
        <v>36</v>
      </c>
    </row>
    <row r="19" spans="1:15" ht="22.5" customHeight="1" x14ac:dyDescent="0.25">
      <c r="A19" s="8"/>
      <c r="B19" s="8"/>
      <c r="C19" s="8"/>
      <c r="D19" s="8"/>
      <c r="F19" s="1" t="s">
        <v>17</v>
      </c>
      <c r="G19" s="4">
        <v>5</v>
      </c>
      <c r="H19" s="3">
        <f>0.3*0.04*9.81</f>
        <v>0.11772000000000001</v>
      </c>
      <c r="I19" s="4">
        <v>0.4</v>
      </c>
      <c r="J19" s="1">
        <v>93</v>
      </c>
      <c r="K19" s="3">
        <f t="shared" si="9"/>
        <v>0.57323384512991515</v>
      </c>
      <c r="L19" s="4">
        <f t="shared" ref="L19:L20" si="10">I19*G19</f>
        <v>2</v>
      </c>
      <c r="M19" s="4">
        <v>86</v>
      </c>
      <c r="N19" s="4">
        <v>0.25</v>
      </c>
      <c r="O19" s="1" t="s">
        <v>36</v>
      </c>
    </row>
    <row r="20" spans="1:15" ht="22.5" customHeight="1" x14ac:dyDescent="0.25">
      <c r="A20" s="8"/>
      <c r="B20" s="8"/>
      <c r="C20" s="8"/>
      <c r="D20" s="8"/>
      <c r="F20" s="1" t="s">
        <v>20</v>
      </c>
      <c r="G20" s="4">
        <v>6</v>
      </c>
      <c r="H20" s="3">
        <v>0.17</v>
      </c>
      <c r="I20" s="4">
        <v>0.55000000000000004</v>
      </c>
      <c r="J20" s="1">
        <v>150</v>
      </c>
      <c r="K20" s="3">
        <f t="shared" si="9"/>
        <v>1.3351768777756623</v>
      </c>
      <c r="L20" s="4">
        <f t="shared" si="10"/>
        <v>3.3000000000000003</v>
      </c>
      <c r="M20" s="4" t="s">
        <v>13</v>
      </c>
      <c r="N20" s="4" t="s">
        <v>13</v>
      </c>
    </row>
    <row r="21" spans="1:15" ht="22.5" customHeight="1" x14ac:dyDescent="0.25">
      <c r="G21" s="4"/>
      <c r="H21" s="3"/>
      <c r="I21" s="4"/>
      <c r="J21" s="1"/>
      <c r="K21" s="3"/>
      <c r="L21" s="4"/>
      <c r="M21" s="4"/>
      <c r="N21" s="4"/>
    </row>
    <row r="22" spans="1:15" ht="22.5" customHeight="1" x14ac:dyDescent="0.3">
      <c r="A22" s="7"/>
      <c r="B22" s="7"/>
      <c r="C22" s="7"/>
      <c r="D22" s="7"/>
      <c r="F22" s="2" t="s">
        <v>37</v>
      </c>
      <c r="G22" s="4"/>
      <c r="H22" s="3"/>
      <c r="I22" s="4"/>
      <c r="J22" s="1"/>
      <c r="K22" s="3"/>
      <c r="L22" s="4"/>
      <c r="M22" s="4"/>
      <c r="N22" s="4"/>
    </row>
    <row r="23" spans="1:15" ht="22.5" customHeight="1" x14ac:dyDescent="0.25">
      <c r="A23" s="8"/>
      <c r="B23" s="8"/>
      <c r="C23" s="8"/>
      <c r="D23" s="8"/>
      <c r="F23" s="1" t="s">
        <v>17</v>
      </c>
      <c r="G23" s="4">
        <v>5</v>
      </c>
      <c r="H23" s="3"/>
      <c r="I23" s="4"/>
      <c r="J23" s="1"/>
      <c r="K23" s="3"/>
      <c r="L23" s="4"/>
      <c r="M23" s="4"/>
      <c r="N23" s="4">
        <v>0.2</v>
      </c>
    </row>
  </sheetData>
  <dataValidations count="1">
    <dataValidation type="custom" allowBlank="1" showDropDown="1" sqref="B2:C12 J2:K23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Motors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 Horstman</cp:lastModifiedBy>
  <dcterms:modified xsi:type="dcterms:W3CDTF">2025-12-19T14:53:04Z</dcterms:modified>
</cp:coreProperties>
</file>